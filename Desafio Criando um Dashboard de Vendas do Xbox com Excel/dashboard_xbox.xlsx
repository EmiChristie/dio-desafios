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Bibliotecas\Downloads\Atvd\curso_powerbi\"/>
    </mc:Choice>
  </mc:AlternateContent>
  <bookViews>
    <workbookView xWindow="0" yWindow="0" windowWidth="15345" windowHeight="4485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40" i="3"/>
</calcChain>
</file>

<file path=xl/sharedStrings.xml><?xml version="1.0" encoding="utf-8"?>
<sst xmlns="http://schemas.openxmlformats.org/spreadsheetml/2006/main" count="2024" uniqueCount="323">
  <si>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</si>
  <si>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</si>
  <si>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</si>
  <si>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</si>
  <si>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</si>
  <si>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</si>
  <si>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</si>
  <si>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</si>
  <si>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</si>
  <si>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</si>
  <si>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</si>
  <si>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</si>
  <si>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</si>
  <si>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</si>
  <si>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</si>
  <si>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</si>
  <si>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</si>
  <si>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</si>
  <si>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</si>
  <si>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</si>
  <si>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</si>
  <si>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</si>
  <si>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</si>
  <si>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</si>
  <si>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</si>
  <si>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</si>
  <si>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</si>
  <si>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</si>
  <si>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</si>
  <si>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</si>
  <si>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</si>
  <si>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</si>
  <si>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</si>
  <si>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</si>
  <si>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</si>
  <si>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</si>
  <si>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</si>
  <si>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</si>
  <si>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</si>
  <si>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</si>
  <si>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</si>
  <si>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</si>
  <si>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</si>
  <si>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</si>
  <si>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</si>
  <si>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</si>
  <si>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</si>
  <si>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</si>
  <si>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</si>
  <si>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</si>
  <si>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</si>
  <si>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</si>
  <si>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</si>
  <si>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</si>
  <si>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</si>
  <si>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</si>
  <si>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</si>
  <si>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</si>
  <si>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</si>
  <si>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</si>
  <si>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</si>
  <si>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</si>
  <si>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</si>
  <si>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</si>
  <si>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</si>
  <si>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</si>
  <si>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</si>
  <si>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</si>
  <si>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</si>
  <si>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</si>
  <si>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</si>
  <si>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</si>
  <si>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</si>
  <si>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</si>
  <si>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</si>
  <si>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</si>
  <si>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</si>
  <si>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</si>
  <si>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</si>
  <si>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</si>
  <si>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</si>
  <si>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</si>
  <si>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</si>
  <si>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</si>
  <si>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</si>
  <si>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</si>
  <si>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</si>
  <si>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</si>
  <si>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</si>
  <si>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</si>
  <si>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</si>
  <si>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</si>
  <si>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</si>
  <si>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</si>
  <si>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</si>
  <si>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</si>
  <si>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</si>
  <si>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</si>
  <si>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</si>
  <si>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</si>
  <si>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</si>
  <si>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</si>
  <si>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</si>
  <si>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</si>
  <si>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</si>
  <si>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</si>
  <si>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</si>
  <si>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</si>
  <si>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</si>
  <si>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</si>
  <si>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</si>
  <si>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</si>
  <si>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</si>
  <si>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</si>
  <si>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</si>
  <si>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</si>
  <si>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</si>
  <si>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</si>
  <si>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</si>
  <si>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</si>
  <si>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</si>
  <si>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</si>
  <si>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</si>
  <si>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</si>
  <si>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</si>
  <si>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</si>
  <si>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</si>
  <si>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</si>
  <si>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</si>
  <si>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</si>
  <si>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</si>
  <si>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</si>
  <si>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</si>
  <si>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</si>
  <si>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</si>
  <si>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</si>
  <si>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</si>
  <si>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</si>
  <si>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</si>
  <si>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</si>
  <si>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</si>
  <si>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</si>
  <si>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</si>
  <si>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</si>
  <si>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</si>
  <si>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</si>
  <si>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</si>
  <si>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</si>
  <si>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</si>
  <si>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</si>
  <si>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</si>
  <si>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</si>
  <si>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</si>
  <si>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</si>
  <si>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</si>
  <si>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</si>
  <si>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</si>
  <si>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</si>
  <si>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</si>
  <si>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</si>
  <si>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</si>
  <si>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</si>
  <si>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</si>
  <si>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</si>
  <si>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</si>
  <si>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</si>
  <si>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</si>
  <si>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</si>
  <si>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</si>
  <si>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</si>
  <si>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</si>
  <si>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</si>
  <si>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</si>
  <si>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</si>
  <si>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</si>
  <si>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</si>
  <si>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</si>
  <si>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</si>
  <si>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</si>
  <si>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</si>
  <si>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</si>
  <si>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</si>
  <si>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</si>
  <si>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</si>
  <si>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</si>
  <si>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</si>
  <si>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</si>
  <si>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</si>
  <si>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</si>
  <si>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</si>
  <si>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</si>
  <si>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</si>
  <si>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</si>
  <si>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</si>
  <si>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</si>
  <si>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</si>
  <si>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</si>
  <si>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</si>
  <si>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</si>
  <si>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</si>
  <si>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</si>
  <si>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</si>
  <si>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</si>
  <si>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</si>
  <si>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</si>
  <si>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</si>
  <si>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</si>
  <si>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</si>
  <si>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</si>
  <si>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</si>
  <si>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</si>
  <si>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</si>
  <si>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</si>
  <si>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</si>
  <si>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</si>
  <si>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</si>
  <si>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</si>
  <si>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</si>
  <si>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</si>
  <si>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</si>
  <si>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</si>
  <si>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</si>
  <si>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</si>
  <si>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</si>
  <si>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</si>
  <si>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</si>
  <si>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</si>
  <si>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</si>
  <si>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</si>
  <si>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</si>
  <si>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</si>
  <si>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</si>
  <si>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</si>
  <si>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</si>
  <si>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</si>
  <si>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</si>
  <si>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</si>
  <si>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</si>
  <si>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</si>
  <si>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</si>
  <si>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</si>
  <si>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</si>
  <si>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</si>
  <si>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</si>
  <si>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</si>
  <si>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</si>
  <si>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</si>
  <si>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</si>
  <si>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</si>
  <si>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</si>
  <si>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</si>
  <si>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</si>
  <si>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</si>
  <si>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</si>
  <si>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</si>
  <si>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</si>
  <si>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</si>
  <si>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</si>
  <si>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</si>
  <si>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</si>
  <si>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</si>
  <si>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</si>
  <si>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</si>
  <si>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</si>
  <si>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</si>
  <si>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</si>
  <si>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</si>
  <si>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</si>
  <si>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</si>
  <si>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</si>
  <si>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</si>
  <si>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</si>
  <si>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</si>
  <si>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</si>
  <si>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</si>
  <si>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</si>
  <si>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</si>
  <si>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</si>
  <si>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</si>
  <si>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</si>
  <si>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</si>
  <si>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</si>
  <si>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</si>
  <si>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</si>
  <si>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</si>
  <si>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</si>
  <si>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</si>
  <si>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</si>
  <si>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</si>
  <si>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</si>
  <si>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</si>
  <si>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</si>
  <si>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</si>
  <si>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</si>
  <si>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</si>
  <si>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</si>
  <si>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</si>
  <si>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</si>
  <si>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</si>
  <si>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</si>
  <si>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</si>
  <si>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</si>
  <si>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</si>
  <si>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</si>
  <si>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</si>
  <si>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</si>
  <si>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</si>
  <si>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</si>
  <si>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</si>
  <si>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</si>
  <si>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</si>
  <si>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</si>
  <si>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</si>
  <si>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é o faturamento total de vendas dos planos anuais, contendo todas as assinaturas agregadas?</t>
  </si>
  <si>
    <t>Gerando informação a partir dos dados</t>
  </si>
  <si>
    <t>Rótulos de Linha</t>
  </si>
  <si>
    <t>Total Geral</t>
  </si>
  <si>
    <t>Soma de Total Value</t>
  </si>
  <si>
    <t>Pergunta de Negócio 2 - Qual é o faturamento total de vendas de planos anuais, separado por haver renovação automática ou não?</t>
  </si>
  <si>
    <t>Pergunta de Negócio 3 - Total de vendas de assinaturas do EA play</t>
  </si>
  <si>
    <t>Soma de EA Play Season Pass</t>
  </si>
  <si>
    <t>Soma de Minecraft Season Pass Price</t>
  </si>
  <si>
    <t xml:space="preserve">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</si>
</sst>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6"/>
      <color theme="1"/>
      <name val="Aptos Narrow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0" borderId="0" xfId="0" applyFont="1"/>
    <xf numFmtId="0" fontId="7" fillId="0" borderId="2" xfId="1" applyFont="1" applyBorder="1"/>
    <xf numFmtId="0" fontId="6" fillId="4" borderId="0" xfId="0" applyFont="1" applyFill="1"/>
    <xf numFmtId="44" fontId="0" fillId="0" borderId="0" xfId="2" applyFont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auto="1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00B050"/>
      <color rgb="FF22C5A4"/>
      <color rgb="FF5BF6A8"/>
      <color rgb="FFE8E6E9"/>
      <color rgb="FF2AE6B1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1-4607-8D05-CED6FF445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758352"/>
        <c:axId val="995769168"/>
      </c:barChart>
      <c:catAx>
        <c:axId val="99575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5769168"/>
        <c:crosses val="autoZero"/>
        <c:auto val="1"/>
        <c:lblAlgn val="ctr"/>
        <c:lblOffset val="100"/>
        <c:noMultiLvlLbl val="0"/>
      </c:catAx>
      <c:valAx>
        <c:axId val="99576916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995758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  <c:pivotFmt>
        <c:idx val="9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9817032797404903E-2"/>
          <c:y val="0.18036935119823291"/>
          <c:w val="0.95281387499614778"/>
          <c:h val="0.697115617799193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9-47B6-9594-3D2E82EF1DA1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39-47B6-9594-3D2E82EF1D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9-47B6-9594-3D2E82EF1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758352"/>
        <c:axId val="995769168"/>
      </c:barChart>
      <c:catAx>
        <c:axId val="99575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95769168"/>
        <c:crosses val="autoZero"/>
        <c:auto val="1"/>
        <c:lblAlgn val="ctr"/>
        <c:lblOffset val="1000"/>
        <c:noMultiLvlLbl val="0"/>
      </c:catAx>
      <c:valAx>
        <c:axId val="99576916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995758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11" Type="http://schemas.openxmlformats.org/officeDocument/2006/relationships/image" Target="../media/image4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5250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>
          <a:spLocks/>
        </xdr:cNvSpPr>
      </xdr:nvSpPr>
      <xdr:spPr>
        <a:xfrm>
          <a:off x="5838825" y="2466975"/>
          <a:ext cx="771525" cy="6572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114300</xdr:colOff>
      <xdr:row>11</xdr:row>
      <xdr:rowOff>85725</xdr:rowOff>
    </xdr:from>
    <xdr:to>
      <xdr:col>8</xdr:col>
      <xdr:colOff>228600</xdr:colOff>
      <xdr:row>26</xdr:row>
      <xdr:rowOff>114300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371475</xdr:colOff>
      <xdr:row>11</xdr:row>
      <xdr:rowOff>114301</xdr:rowOff>
    </xdr:from>
    <xdr:to>
      <xdr:col>3</xdr:col>
      <xdr:colOff>2200275</xdr:colOff>
      <xdr:row>18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2162176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35719</xdr:colOff>
      <xdr:row>7</xdr:row>
      <xdr:rowOff>312734</xdr:rowOff>
    </xdr:from>
    <xdr:to>
      <xdr:col>9</xdr:col>
      <xdr:colOff>571499</xdr:colOff>
      <xdr:row>15</xdr:row>
      <xdr:rowOff>2198</xdr:rowOff>
    </xdr:to>
    <xdr:sp macro="" textlink="">
      <xdr:nvSpPr>
        <xdr:cNvPr id="9" name="Retângulo Arredondado 8"/>
        <xdr:cNvSpPr/>
      </xdr:nvSpPr>
      <xdr:spPr>
        <a:xfrm>
          <a:off x="2274094" y="1712909"/>
          <a:ext cx="5336380" cy="137538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1350</a:t>
          </a:r>
        </a:p>
      </xdr:txBody>
    </xdr:sp>
    <xdr:clientData/>
  </xdr:twoCellAnchor>
  <xdr:twoCellAnchor>
    <xdr:from>
      <xdr:col>2</xdr:col>
      <xdr:colOff>35719</xdr:colOff>
      <xdr:row>7</xdr:row>
      <xdr:rowOff>71438</xdr:rowOff>
    </xdr:from>
    <xdr:to>
      <xdr:col>9</xdr:col>
      <xdr:colOff>571499</xdr:colOff>
      <xdr:row>9</xdr:row>
      <xdr:rowOff>26344</xdr:rowOff>
    </xdr:to>
    <xdr:sp macro="" textlink="">
      <xdr:nvSpPr>
        <xdr:cNvPr id="13" name="Arredondar Retângulo no Mesmo Canto Lateral 12"/>
        <xdr:cNvSpPr/>
      </xdr:nvSpPr>
      <xdr:spPr>
        <a:xfrm>
          <a:off x="2274094" y="1471613"/>
          <a:ext cx="5336380" cy="55498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I UI"/>
            </a:rPr>
            <a:t>TOTAL</a:t>
          </a:r>
          <a:r>
            <a:rPr lang="pt-BR" sz="1400" b="1" baseline="0">
              <a:latin typeface="SegoI UI"/>
            </a:rPr>
            <a:t> SUBSCRIPTIONS EA PLAY SEASON PASS</a:t>
          </a:r>
          <a:endParaRPr lang="pt-BR" sz="1400" b="1">
            <a:latin typeface="SegoI UI"/>
          </a:endParaRPr>
        </a:p>
      </xdr:txBody>
    </xdr:sp>
    <xdr:clientData/>
  </xdr:twoCellAnchor>
  <xdr:twoCellAnchor editAs="absolute">
    <xdr:from>
      <xdr:col>2</xdr:col>
      <xdr:colOff>9525</xdr:colOff>
      <xdr:row>0</xdr:row>
      <xdr:rowOff>40692</xdr:rowOff>
    </xdr:from>
    <xdr:to>
      <xdr:col>2</xdr:col>
      <xdr:colOff>638470</xdr:colOff>
      <xdr:row>2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14660" r="72303" b="16928"/>
        <a:stretch/>
      </xdr:blipFill>
      <xdr:spPr>
        <a:xfrm>
          <a:off x="2247900" y="40692"/>
          <a:ext cx="628945" cy="664158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119062</xdr:colOff>
      <xdr:row>7</xdr:row>
      <xdr:rowOff>23813</xdr:rowOff>
    </xdr:from>
    <xdr:to>
      <xdr:col>0</xdr:col>
      <xdr:colOff>1857375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" y="1423988"/>
              <a:ext cx="1738313" cy="1843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47624</xdr:colOff>
      <xdr:row>18</xdr:row>
      <xdr:rowOff>114300</xdr:rowOff>
    </xdr:from>
    <xdr:to>
      <xdr:col>18</xdr:col>
      <xdr:colOff>208855</xdr:colOff>
      <xdr:row>40</xdr:row>
      <xdr:rowOff>81642</xdr:rowOff>
    </xdr:to>
    <xdr:sp macro="" textlink="">
      <xdr:nvSpPr>
        <xdr:cNvPr id="7" name="Arredondar Retângulo no Mesmo Canto Lateral 6"/>
        <xdr:cNvSpPr/>
      </xdr:nvSpPr>
      <xdr:spPr>
        <a:xfrm rot="10800000">
          <a:off x="2279195" y="3706586"/>
          <a:ext cx="10870053" cy="3858985"/>
        </a:xfrm>
        <a:prstGeom prst="round2SameRect">
          <a:avLst/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313765</xdr:colOff>
      <xdr:row>20</xdr:row>
      <xdr:rowOff>618</xdr:rowOff>
    </xdr:from>
    <xdr:to>
      <xdr:col>17</xdr:col>
      <xdr:colOff>561975</xdr:colOff>
      <xdr:row>40</xdr:row>
      <xdr:rowOff>146522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369215</xdr:colOff>
      <xdr:row>9</xdr:row>
      <xdr:rowOff>22810</xdr:rowOff>
    </xdr:from>
    <xdr:to>
      <xdr:col>9</xdr:col>
      <xdr:colOff>523873</xdr:colOff>
      <xdr:row>14</xdr:row>
      <xdr:rowOff>72133</xdr:rowOff>
    </xdr:to>
    <xdr:sp macro="" textlink="C̳álculos!D32">
      <xdr:nvSpPr>
        <xdr:cNvPr id="11" name="Retângulo Arredondado 10"/>
        <xdr:cNvSpPr/>
      </xdr:nvSpPr>
      <xdr:spPr>
        <a:xfrm>
          <a:off x="4664990" y="2023060"/>
          <a:ext cx="2897858" cy="95419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31AED92-7E11-4FB7-89C7-6F23CF23C307}" type="TxLink">
            <a:rPr lang="en-US" sz="36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R$ 600,00 </a:t>
          </a:fld>
          <a:endParaRPr lang="en-US" sz="3600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285750</xdr:colOff>
      <xdr:row>8</xdr:row>
      <xdr:rowOff>107158</xdr:rowOff>
    </xdr:from>
    <xdr:to>
      <xdr:col>4</xdr:col>
      <xdr:colOff>276735</xdr:colOff>
      <xdr:row>15</xdr:row>
      <xdr:rowOff>9527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926433"/>
          <a:ext cx="1362585" cy="1169194"/>
        </a:xfrm>
        <a:prstGeom prst="rect">
          <a:avLst/>
        </a:prstGeom>
      </xdr:spPr>
    </xdr:pic>
    <xdr:clientData/>
  </xdr:twoCellAnchor>
  <xdr:twoCellAnchor>
    <xdr:from>
      <xdr:col>10</xdr:col>
      <xdr:colOff>188119</xdr:colOff>
      <xdr:row>7</xdr:row>
      <xdr:rowOff>309670</xdr:rowOff>
    </xdr:from>
    <xdr:to>
      <xdr:col>18</xdr:col>
      <xdr:colOff>223837</xdr:colOff>
      <xdr:row>14</xdr:row>
      <xdr:rowOff>176212</xdr:rowOff>
    </xdr:to>
    <xdr:sp macro="" textlink="">
      <xdr:nvSpPr>
        <xdr:cNvPr id="23" name="Retângulo Arredondado 22"/>
        <xdr:cNvSpPr/>
      </xdr:nvSpPr>
      <xdr:spPr>
        <a:xfrm>
          <a:off x="7912894" y="1709845"/>
          <a:ext cx="5341143" cy="137149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1350</a:t>
          </a:r>
        </a:p>
      </xdr:txBody>
    </xdr:sp>
    <xdr:clientData/>
  </xdr:twoCellAnchor>
  <xdr:twoCellAnchor>
    <xdr:from>
      <xdr:col>10</xdr:col>
      <xdr:colOff>188119</xdr:colOff>
      <xdr:row>7</xdr:row>
      <xdr:rowOff>69057</xdr:rowOff>
    </xdr:from>
    <xdr:to>
      <xdr:col>18</xdr:col>
      <xdr:colOff>223837</xdr:colOff>
      <xdr:row>9</xdr:row>
      <xdr:rowOff>22391</xdr:rowOff>
    </xdr:to>
    <xdr:sp macro="" textlink="">
      <xdr:nvSpPr>
        <xdr:cNvPr id="24" name="Arredondar Retângulo no Mesmo Canto Lateral 23"/>
        <xdr:cNvSpPr/>
      </xdr:nvSpPr>
      <xdr:spPr>
        <a:xfrm>
          <a:off x="7912894" y="1469232"/>
          <a:ext cx="5341143" cy="55340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I UI"/>
            </a:rPr>
            <a:t>TOTAL</a:t>
          </a:r>
          <a:r>
            <a:rPr lang="pt-BR" sz="1400" b="1" baseline="0">
              <a:latin typeface="SegoI UI"/>
            </a:rPr>
            <a:t> SUBSCRIPTIONS MINECRAFT SEASON PASS</a:t>
          </a:r>
          <a:endParaRPr lang="pt-BR" sz="1400" b="1">
            <a:latin typeface="SegoI UI"/>
          </a:endParaRPr>
        </a:p>
      </xdr:txBody>
    </xdr:sp>
    <xdr:clientData/>
  </xdr:twoCellAnchor>
  <xdr:twoCellAnchor>
    <xdr:from>
      <xdr:col>13</xdr:col>
      <xdr:colOff>584846</xdr:colOff>
      <xdr:row>9</xdr:row>
      <xdr:rowOff>30144</xdr:rowOff>
    </xdr:from>
    <xdr:to>
      <xdr:col>18</xdr:col>
      <xdr:colOff>53301</xdr:colOff>
      <xdr:row>14</xdr:row>
      <xdr:rowOff>77523</xdr:rowOff>
    </xdr:to>
    <xdr:sp macro="" textlink="C̳álculos!D40">
      <xdr:nvSpPr>
        <xdr:cNvPr id="26" name="Retângulo Arredondado 25"/>
        <xdr:cNvSpPr/>
      </xdr:nvSpPr>
      <xdr:spPr>
        <a:xfrm>
          <a:off x="10186046" y="2030394"/>
          <a:ext cx="2897455" cy="95225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115DA88-F00E-4945-85BF-FF15ED54F0AD}" type="TxLink">
            <a:rPr lang="en-US" sz="36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R$ 940,00 </a:t>
          </a:fld>
          <a:endParaRPr lang="en-US" sz="3600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557212</xdr:colOff>
      <xdr:row>9</xdr:row>
      <xdr:rowOff>180974</xdr:rowOff>
    </xdr:from>
    <xdr:to>
      <xdr:col>13</xdr:col>
      <xdr:colOff>228600</xdr:colOff>
      <xdr:row>13</xdr:row>
      <xdr:rowOff>111919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8281987" y="2181224"/>
          <a:ext cx="1547813" cy="654845"/>
          <a:chOff x="3495675" y="5400674"/>
          <a:chExt cx="1549476" cy="752476"/>
        </a:xfrm>
      </xdr:grpSpPr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0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35718</xdr:colOff>
      <xdr:row>18</xdr:row>
      <xdr:rowOff>71438</xdr:rowOff>
    </xdr:from>
    <xdr:to>
      <xdr:col>18</xdr:col>
      <xdr:colOff>219074</xdr:colOff>
      <xdr:row>21</xdr:row>
      <xdr:rowOff>83494</xdr:rowOff>
    </xdr:to>
    <xdr:sp macro="" textlink="">
      <xdr:nvSpPr>
        <xdr:cNvPr id="31" name="Arredondar Retângulo no Mesmo Canto Lateral 30"/>
        <xdr:cNvSpPr/>
      </xdr:nvSpPr>
      <xdr:spPr>
        <a:xfrm>
          <a:off x="2274093" y="3700463"/>
          <a:ext cx="10975181" cy="55498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I UI"/>
            </a:rPr>
            <a:t>TOTAL</a:t>
          </a:r>
          <a:r>
            <a:rPr lang="pt-BR" sz="1400" b="1" baseline="0">
              <a:latin typeface="SegoI UI"/>
            </a:rPr>
            <a:t> SUBSCRIPTIONS XBOX PLAY SEASON PASS</a:t>
          </a:r>
          <a:endParaRPr lang="pt-BR" sz="1400" b="1">
            <a:latin typeface="SegoI UI"/>
          </a:endParaRPr>
        </a:p>
      </xdr:txBody>
    </xdr:sp>
    <xdr:clientData/>
  </xdr:twoCellAnchor>
  <xdr:twoCellAnchor>
    <xdr:from>
      <xdr:col>0</xdr:col>
      <xdr:colOff>590550</xdr:colOff>
      <xdr:row>0</xdr:row>
      <xdr:rowOff>161925</xdr:rowOff>
    </xdr:from>
    <xdr:to>
      <xdr:col>0</xdr:col>
      <xdr:colOff>1304925</xdr:colOff>
      <xdr:row>2</xdr:row>
      <xdr:rowOff>180975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>
          <a:spLocks/>
        </xdr:cNvSpPr>
      </xdr:nvSpPr>
      <xdr:spPr>
        <a:xfrm>
          <a:off x="590550" y="161925"/>
          <a:ext cx="714375" cy="695325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114300</xdr:colOff>
      <xdr:row>3</xdr:row>
      <xdr:rowOff>85725</xdr:rowOff>
    </xdr:from>
    <xdr:to>
      <xdr:col>0</xdr:col>
      <xdr:colOff>1657350</xdr:colOff>
      <xdr:row>6</xdr:row>
      <xdr:rowOff>38100</xdr:rowOff>
    </xdr:to>
    <xdr:sp macro="" textlink="">
      <xdr:nvSpPr>
        <xdr:cNvPr id="17" name="Retângulo 16"/>
        <xdr:cNvSpPr/>
      </xdr:nvSpPr>
      <xdr:spPr>
        <a:xfrm>
          <a:off x="114300" y="1028700"/>
          <a:ext cx="15430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latin typeface="SegoI UI"/>
            </a:rPr>
            <a:t>&gt; bem-vinda,</a:t>
          </a:r>
          <a:r>
            <a:rPr lang="pt-BR" sz="1000" b="1" baseline="0">
              <a:latin typeface="SegoI UI"/>
            </a:rPr>
            <a:t> Liana</a:t>
          </a:r>
          <a:endParaRPr lang="pt-BR" sz="1000" b="1">
            <a:latin typeface="SegoI UI"/>
          </a:endParaRPr>
        </a:p>
      </xdr:txBody>
    </xdr:sp>
    <xdr:clientData/>
  </xdr:twoCellAnchor>
  <xdr:twoCellAnchor>
    <xdr:from>
      <xdr:col>1</xdr:col>
      <xdr:colOff>238125</xdr:colOff>
      <xdr:row>4</xdr:row>
      <xdr:rowOff>19050</xdr:rowOff>
    </xdr:from>
    <xdr:to>
      <xdr:col>18</xdr:col>
      <xdr:colOff>114300</xdr:colOff>
      <xdr:row>7</xdr:row>
      <xdr:rowOff>47625</xdr:rowOff>
    </xdr:to>
    <xdr:sp macro="" textlink="">
      <xdr:nvSpPr>
        <xdr:cNvPr id="20" name="Arredondar Retângulo no Mesmo Canto Lateral 19"/>
        <xdr:cNvSpPr/>
      </xdr:nvSpPr>
      <xdr:spPr>
        <a:xfrm>
          <a:off x="2200275" y="1066800"/>
          <a:ext cx="10944225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00B050"/>
              </a:solidFill>
              <a:latin typeface="SegoI UI"/>
            </a:rPr>
            <a:t>Período de apuração: 01/01/2024 - 31/12/2024</a:t>
          </a:r>
          <a:r>
            <a:rPr lang="pt-BR" sz="1100" b="1" baseline="0">
              <a:solidFill>
                <a:srgbClr val="00B050"/>
              </a:solidFill>
              <a:latin typeface="SegoI UI"/>
            </a:rPr>
            <a:t> </a:t>
          </a:r>
          <a:r>
            <a:rPr lang="pt-BR" sz="1100" b="1" i="0">
              <a:solidFill>
                <a:srgbClr val="00B050"/>
              </a:solidFill>
              <a:effectLst/>
              <a:latin typeface="SegoI UI"/>
              <a:ea typeface="+mn-ea"/>
              <a:cs typeface="+mn-cs"/>
            </a:rPr>
            <a:t>| Último update: 25/12/2024</a:t>
          </a:r>
          <a:endParaRPr lang="pt-BR" sz="1100" b="1">
            <a:solidFill>
              <a:srgbClr val="00B050"/>
            </a:solidFill>
            <a:latin typeface="SegoI U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CICLAQUI" refreshedDate="45982.703326157411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ea_play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5:C1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164"/>
  </dataFields>
  <chartFormats count="10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8:B9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2"/>
    <pivotTable tabId="3" name="tbl_annual_total"/>
    <pivotTable tabId="3" name="tbl_ea_play"/>
    <pivotTable tabId="3" name="Tabela dinâmica4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 2" rowHeight="3240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B13" sqref="B1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B13" sqref="B1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D40"/>
  <sheetViews>
    <sheetView showGridLines="0" topLeftCell="A25" workbookViewId="0">
      <selection activeCell="B13" sqref="B13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3" s="12" customFormat="1" ht="18.75" customHeight="1">
      <c r="B2" s="12" t="s">
        <v>314</v>
      </c>
    </row>
    <row r="4" spans="2:3">
      <c r="B4" t="s">
        <v>313</v>
      </c>
    </row>
    <row r="6" spans="2:3">
      <c r="B6" s="13" t="s">
        <v>16</v>
      </c>
      <c r="C6" t="s">
        <v>24</v>
      </c>
    </row>
    <row r="8" spans="2:3">
      <c r="B8" t="s">
        <v>317</v>
      </c>
    </row>
    <row r="9" spans="2:3">
      <c r="B9" s="16">
        <v>1754</v>
      </c>
    </row>
    <row r="11" spans="2:3">
      <c r="B11" t="s">
        <v>318</v>
      </c>
    </row>
    <row r="13" spans="2:3">
      <c r="B13" s="13" t="s">
        <v>16</v>
      </c>
      <c r="C13" t="s">
        <v>24</v>
      </c>
    </row>
    <row r="15" spans="2:3">
      <c r="B15" s="13" t="s">
        <v>315</v>
      </c>
      <c r="C15" t="s">
        <v>317</v>
      </c>
    </row>
    <row r="16" spans="2:3">
      <c r="B16" s="14" t="s">
        <v>23</v>
      </c>
      <c r="C16" s="16">
        <v>217</v>
      </c>
    </row>
    <row r="17" spans="2:4">
      <c r="B17" s="14" t="s">
        <v>19</v>
      </c>
      <c r="C17" s="16">
        <v>1537</v>
      </c>
    </row>
    <row r="18" spans="2:4">
      <c r="B18" s="14" t="s">
        <v>316</v>
      </c>
      <c r="C18" s="16">
        <v>1754</v>
      </c>
    </row>
    <row r="25" spans="2:4">
      <c r="B25" s="14" t="s">
        <v>319</v>
      </c>
    </row>
    <row r="26" spans="2:4">
      <c r="B26" s="13" t="s">
        <v>16</v>
      </c>
      <c r="C26" t="s">
        <v>24</v>
      </c>
    </row>
    <row r="28" spans="2:4">
      <c r="B28" s="13" t="s">
        <v>315</v>
      </c>
      <c r="C28" t="s">
        <v>320</v>
      </c>
    </row>
    <row r="29" spans="2:4">
      <c r="B29" s="14" t="s">
        <v>22</v>
      </c>
      <c r="C29" s="15">
        <v>0</v>
      </c>
    </row>
    <row r="30" spans="2:4">
      <c r="B30" s="14" t="s">
        <v>26</v>
      </c>
      <c r="C30" s="15">
        <v>0</v>
      </c>
    </row>
    <row r="31" spans="2:4">
      <c r="B31" s="14" t="s">
        <v>18</v>
      </c>
      <c r="C31" s="15">
        <v>600</v>
      </c>
    </row>
    <row r="32" spans="2:4">
      <c r="B32" s="14" t="s">
        <v>316</v>
      </c>
      <c r="C32" s="15">
        <v>600</v>
      </c>
      <c r="D32" s="20">
        <f>GETPIVOTDATA("EA Play Season Pass
Price",$B$28)</f>
        <v>600</v>
      </c>
    </row>
    <row r="34" spans="2:4">
      <c r="B34" s="13" t="s">
        <v>16</v>
      </c>
      <c r="C34" t="s">
        <v>24</v>
      </c>
    </row>
    <row r="36" spans="2:4">
      <c r="B36" s="13" t="s">
        <v>315</v>
      </c>
      <c r="C36" t="s">
        <v>321</v>
      </c>
    </row>
    <row r="37" spans="2:4">
      <c r="B37" s="14" t="s">
        <v>22</v>
      </c>
      <c r="C37" s="15">
        <v>0</v>
      </c>
    </row>
    <row r="38" spans="2:4">
      <c r="B38" s="14" t="s">
        <v>26</v>
      </c>
      <c r="C38" s="15">
        <v>540</v>
      </c>
    </row>
    <row r="39" spans="2:4">
      <c r="B39" s="14" t="s">
        <v>18</v>
      </c>
      <c r="C39" s="15">
        <v>400</v>
      </c>
    </row>
    <row r="40" spans="2:4">
      <c r="B40" s="14" t="s">
        <v>316</v>
      </c>
      <c r="C40" s="15">
        <v>940</v>
      </c>
      <c r="D40" s="20">
        <f>GETPIVOTDATA("Minecraft Season Pass Price",$B$36)</f>
        <v>940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showGridLines="0" tabSelected="1" zoomScaleNormal="100" workbookViewId="0">
      <selection activeCell="S29" sqref="S29"/>
    </sheetView>
  </sheetViews>
  <sheetFormatPr defaultRowHeight="14.25"/>
  <cols>
    <col min="1" max="1" width="25.75" style="19" customWidth="1"/>
    <col min="2" max="2" width="3.625" customWidth="1"/>
    <col min="12" max="12" width="6.625" customWidth="1"/>
    <col min="18" max="18" width="9" customWidth="1"/>
  </cols>
  <sheetData>
    <row r="2" spans="2:29" ht="39" customHeight="1" thickBot="1">
      <c r="C2" s="18" t="s">
        <v>322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1"/>
    </row>
    <row r="3" spans="2:29" ht="21" customHeight="1" thickTop="1">
      <c r="C3" s="17"/>
    </row>
    <row r="4" spans="2:29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2:2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2:29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2:29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2:29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2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2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2:2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2:2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2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2:2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2:2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2:2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RECICLAQUI</cp:lastModifiedBy>
  <dcterms:created xsi:type="dcterms:W3CDTF">2024-12-19T13:13:10Z</dcterms:created>
  <dcterms:modified xsi:type="dcterms:W3CDTF">2025-11-21T21:27:39Z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